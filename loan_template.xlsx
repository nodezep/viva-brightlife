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lients" sheetId="2" state="visible" r:id="rId2"/>
    <sheet name="Loans" sheetId="3" state="visible" r:id="rId3"/>
    <sheet name="Payments" sheetId="4" state="visible" r:id="rId4"/>
    <sheet name="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default_interest_rate_monthly</t>
        </is>
      </c>
      <c r="B2" t="n">
        <v>0.02</v>
      </c>
    </row>
    <row r="3">
      <c r="A3" t="inlineStr">
        <is>
          <t>default_term_months</t>
        </is>
      </c>
      <c r="B3" t="n">
        <v>1</v>
      </c>
    </row>
    <row r="4">
      <c r="A4" t="inlineStr">
        <is>
          <t>default_frequency</t>
        </is>
      </c>
      <c r="B4" t="inlineStr">
        <is>
          <t>monthly</t>
        </is>
      </c>
    </row>
    <row r="5">
      <c r="A5" t="inlineStr">
        <is>
          <t>default_grace_days</t>
        </is>
      </c>
      <c r="B5" t="n">
        <v>0</v>
      </c>
    </row>
    <row r="6">
      <c r="A6" t="inlineStr">
        <is>
          <t>default_fee</t>
        </is>
      </c>
      <c r="B6" t="n">
        <v>0</v>
      </c>
    </row>
    <row r="7">
      <c r="A7" t="inlineStr">
        <is>
          <t>default_insurance</t>
        </is>
      </c>
      <c r="B7" t="n">
        <v>0</v>
      </c>
    </row>
    <row r="8">
      <c r="A8" t="inlineStr">
        <is>
          <t>default_penalty_rate_daily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client_id</t>
        </is>
      </c>
      <c r="B1" s="1" t="inlineStr">
        <is>
          <t>member_number</t>
        </is>
      </c>
      <c r="C1" s="1" t="inlineStr">
        <is>
          <t>client_name</t>
        </is>
      </c>
      <c r="D1" s="1" t="inlineStr">
        <is>
          <t>phone</t>
        </is>
      </c>
      <c r="E1" s="1" t="inlineStr">
        <is>
          <t>group_name</t>
        </is>
      </c>
      <c r="F1" s="1" t="inlineStr">
        <is>
          <t>join_date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loan_id</t>
        </is>
      </c>
      <c r="B1" s="1" t="inlineStr">
        <is>
          <t>client_id</t>
        </is>
      </c>
      <c r="C1" s="1" t="inlineStr">
        <is>
          <t>disbursement_date</t>
        </is>
      </c>
      <c r="D1" s="1" t="inlineStr">
        <is>
          <t>principal</t>
        </is>
      </c>
      <c r="E1" s="1" t="inlineStr">
        <is>
          <t>term_months</t>
        </is>
      </c>
      <c r="F1" s="1" t="inlineStr">
        <is>
          <t>interest_rate_monthly</t>
        </is>
      </c>
      <c r="G1" s="1" t="inlineStr">
        <is>
          <t>frequency</t>
        </is>
      </c>
      <c r="H1" s="1" t="inlineStr">
        <is>
          <t>grace_days</t>
        </is>
      </c>
      <c r="I1" s="1" t="inlineStr">
        <is>
          <t>fee</t>
        </is>
      </c>
      <c r="J1" s="1" t="inlineStr">
        <is>
          <t>insurance</t>
        </is>
      </c>
      <c r="K1" s="1" t="inlineStr">
        <is>
          <t>total_interest</t>
        </is>
      </c>
      <c r="L1" s="1" t="inlineStr">
        <is>
          <t>total_payable</t>
        </is>
      </c>
      <c r="M1" s="1" t="inlineStr">
        <is>
          <t>installment_count</t>
        </is>
      </c>
      <c r="N1" s="1" t="inlineStr">
        <is>
          <t>installment_amount</t>
        </is>
      </c>
      <c r="O1" s="1" t="inlineStr">
        <is>
          <t>first_due_date</t>
        </is>
      </c>
      <c r="P1" s="1" t="inlineStr">
        <is>
          <t>total_paid</t>
        </is>
      </c>
      <c r="Q1" s="1" t="inlineStr">
        <is>
          <t>outstanding</t>
        </is>
      </c>
      <c r="R1" s="1" t="inlineStr">
        <is>
          <t>status</t>
        </is>
      </c>
    </row>
    <row r="2">
      <c r="E2">
        <f>IF(E2="",Settings!B2,E2)</f>
        <v/>
      </c>
      <c r="F2">
        <f>IF(F2="",Settings!B1,F2)</f>
        <v/>
      </c>
      <c r="G2">
        <f>IF(G2="",Settings!B3,G2)</f>
        <v/>
      </c>
      <c r="H2">
        <f>IF(H2="",Settings!B4,H2)</f>
        <v/>
      </c>
      <c r="I2">
        <f>IF(I2="",Settings!B5,I2)</f>
        <v/>
      </c>
      <c r="J2">
        <f>IF(J2="",Settings!B6,J2)</f>
        <v/>
      </c>
      <c r="K2">
        <f>IF(OR(D2="",F2="",E2=""),"",D2*F2*E2)</f>
        <v/>
      </c>
      <c r="L2">
        <f>IF(OR(D2="",K2=""),"",D2+K2+I2+J2)</f>
        <v/>
      </c>
      <c r="M2">
        <f>IF(G2="weekly",ROUND(E2*4.333,0),E2)</f>
        <v/>
      </c>
      <c r="N2">
        <f>IF(OR(L2="",M2=""),"",ROUND(L2/M2,2))</f>
        <v/>
      </c>
      <c r="O2">
        <f>IF(C2="","",IF(G2="weekly",C2+7,EDATE(C2,1)))</f>
        <v/>
      </c>
      <c r="P2">
        <f>IF(A2="","",SUMIFS(Payments!D:D,Payments!B:B,A2))</f>
        <v/>
      </c>
      <c r="Q2">
        <f>IF(OR(L2="",P2=""),"",L2-P2)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payment_id</t>
        </is>
      </c>
      <c r="B1" s="1" t="inlineStr">
        <is>
          <t>loan_id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method</t>
        </is>
      </c>
      <c r="F1" s="1" t="inlineStr">
        <is>
          <t>receipt_no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loan_id</t>
        </is>
      </c>
      <c r="B1" s="1" t="inlineStr">
        <is>
          <t>installment_no</t>
        </is>
      </c>
      <c r="C1" s="1" t="inlineStr">
        <is>
          <t>due_date</t>
        </is>
      </c>
      <c r="D1" s="1" t="inlineStr">
        <is>
          <t>principal_due</t>
        </is>
      </c>
      <c r="E1" s="1" t="inlineStr">
        <is>
          <t>interest_due</t>
        </is>
      </c>
      <c r="F1" s="1" t="inlineStr">
        <is>
          <t>total_due</t>
        </is>
      </c>
      <c r="G1" s="1" t="inlineStr">
        <is>
          <t>amount_paid</t>
        </is>
      </c>
      <c r="H1" s="1" t="inlineStr">
        <is>
          <t>outstanding</t>
        </is>
      </c>
      <c r="I1" s="1" t="inlineStr">
        <is>
          <t>days_late</t>
        </is>
      </c>
      <c r="J1" s="1" t="inlineStr">
        <is>
          <t>penalty</t>
        </is>
      </c>
    </row>
    <row r="2">
      <c r="D2">
        <f>IF($A2="","",INDEX(Loans!$D:$D,MATCH($A2,Loans!$A:$A,0))/INDEX(Loans!$M:$M,MATCH($A2,Loans!$A:$A,0)))</f>
        <v/>
      </c>
      <c r="E2">
        <f>IF($A2="","",INDEX(Loans!$K:$K,MATCH($A2,Loans!$A:$A,0))/INDEX(Loans!$M:$M,MATCH($A2,Loans!$A:$A,0)))</f>
        <v/>
      </c>
      <c r="F2">
        <f>IF(OR(D2="",E2=""),"",D2+E2)</f>
        <v/>
      </c>
      <c r="G2">
        <f>IF($A2="","",SUMIFS(Payments!$D:$D,Payments!$B:$B,$A2))</f>
        <v/>
      </c>
      <c r="H2">
        <f>IF(OR(F2="",G2=""),"",F2-G2)</f>
        <v/>
      </c>
      <c r="I2">
        <f>IF(AND(C2&lt;&gt;"",H2&gt;0),MAX(0,TODAY()-C2),0)</f>
        <v/>
      </c>
      <c r="J2">
        <f>IF(AND(I2&gt;0,H2&gt;0),I2*Settings!B7*H2,0)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2026-03-11T19:00:17Z</dcterms:created>
  <dcterms:modified xsi:type="dcterms:W3CDTF">2026-03-11T19:00:17Z</dcterms:modified>
</cp:coreProperties>
</file>